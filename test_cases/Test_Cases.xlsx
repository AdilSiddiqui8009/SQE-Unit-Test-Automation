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Test Data" sheetId="2" state="visible" r:id="rId4"/>
    <sheet name="Summary" sheetId="3" state="visible" r:id="rId5"/>
  </sheets>
  <definedNames>
    <definedName function="false" hidden="true" localSheetId="1" name="_xlnm._FilterDatabase" vbProcedure="false">'Test Data'!$A$1:$G$67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<sst xmlns="http://schemas.openxmlformats.org/spreadsheetml/2006/main" count="534" uniqueCount="249">
  <si>
    <t xml:space="preserve">TC ID</t>
  </si>
  <si>
    <t xml:space="preserve">Module</t>
  </si>
  <si>
    <t xml:space="preserve">Function</t>
  </si>
  <si>
    <t xml:space="preserve">Objective</t>
  </si>
  <si>
    <t xml:space="preserve">Test Data Source (CSV)</t>
  </si>
  <si>
    <t xml:space="preserve">Steps</t>
  </si>
  <si>
    <t xml:space="preserve">Data Rows</t>
  </si>
  <si>
    <t xml:space="preserve">Rows Passed</t>
  </si>
  <si>
    <t xml:space="preserve">Pass Rate</t>
  </si>
  <si>
    <t xml:space="preserve">Status</t>
  </si>
  <si>
    <t xml:space="preserve">Automated Test (pytest)</t>
  </si>
  <si>
    <t xml:space="preserve">TC-DD-001</t>
  </si>
  <si>
    <t xml:space="preserve">number</t>
  </si>
  <si>
    <t xml:space="preserve">ordinal</t>
  </si>
  <si>
    <t xml:space="preserve">Verify ordinal suffix rules (st/nd/rd/th, teen exceptions) and invalid-input handling</t>
  </si>
  <si>
    <t xml:space="preserve">tests_assignment/data/ordinal_cases.csv</t>
  </si>
  <si>
    <t xml:space="preserve">1. Read a row from ordinal_cases.csv  2. Call ordinal(value)  3. Compare with expected</t>
  </si>
  <si>
    <t xml:space="preserve">tests_assignment/test_data_driven_csv.py::test_ordinal_from_csv</t>
  </si>
  <si>
    <t xml:space="preserve">TC-DD-002</t>
  </si>
  <si>
    <t xml:space="preserve">intcomma</t>
  </si>
  <si>
    <t xml:space="preserve">Verify thousands separators, negatives, floats, ndigits rounding and invalid input</t>
  </si>
  <si>
    <t xml:space="preserve">tests_assignment/data/intcomma_cases.csv</t>
  </si>
  <si>
    <t xml:space="preserve">1. Read a row from intcomma_cases.csv  2. Call intcomma(value[, ndigits])  3. Compare with expected</t>
  </si>
  <si>
    <t xml:space="preserve">tests_assignment/test_data_driven_csv.py::test_intcomma_from_csv</t>
  </si>
  <si>
    <t xml:space="preserve">TC-DD-003</t>
  </si>
  <si>
    <t xml:space="preserve">apnumber</t>
  </si>
  <si>
    <t xml:space="preserve">Verify AP-style spelling of 0-9 and the 9/10 and 0/-1 boundaries</t>
  </si>
  <si>
    <t xml:space="preserve">tests_assignment/data/apnumber_cases.csv</t>
  </si>
  <si>
    <t xml:space="preserve">1. Read a row from apnumber_cases.csv  2. Call apnumber(value)  3. Compare with expected</t>
  </si>
  <si>
    <t xml:space="preserve">tests_assignment/test_data_driven_csv.py::test_apnumber_from_csv</t>
  </si>
  <si>
    <t xml:space="preserve">TC-DD-004</t>
  </si>
  <si>
    <t xml:space="preserve">filesize</t>
  </si>
  <si>
    <t xml:space="preserve">naturalsize</t>
  </si>
  <si>
    <t xml:space="preserve">Verify decimal/binary/GNU size formatting, unit boundaries and rounding carry-over</t>
  </si>
  <si>
    <t xml:space="preserve">tests_assignment/data/naturalsize_cases.csv</t>
  </si>
  <si>
    <t xml:space="preserve">1. Read a row from naturalsize_cases.csv  2. Call naturalsize(value, binary, gnu, format)  3. Compare with expected</t>
  </si>
  <si>
    <t xml:space="preserve">tests_assignment/test_data_driven_csv.py::test_naturalsize_from_csv</t>
  </si>
  <si>
    <t xml:space="preserve">TC-DD-005</t>
  </si>
  <si>
    <t xml:space="preserve">time</t>
  </si>
  <si>
    <t xml:space="preserve">naturaldelta</t>
  </si>
  <si>
    <t xml:space="preserve">Verify natural duration text at every unit boundary, plus months and minimum_unit options</t>
  </si>
  <si>
    <t xml:space="preserve">tests_assignment/data/naturaldelta_cases.csv</t>
  </si>
  <si>
    <t xml:space="preserve">1. Read a row from naturaldelta_cases.csv  2. Call naturaldelta(timedelta(seconds), months, minimum_unit)  3. Compare with expected</t>
  </si>
  <si>
    <t xml:space="preserve">tests_assignment/test_data_driven_csv.py::test_naturaldelta_from_csv</t>
  </si>
  <si>
    <t xml:space="preserve">TC-DD-006</t>
  </si>
  <si>
    <t xml:space="preserve">precisedelta</t>
  </si>
  <si>
    <t xml:space="preserve">Verify exact multi-unit duration text, unit rollovers, minimum_unit and format options</t>
  </si>
  <si>
    <t xml:space="preserve">tests_assignment/data/precisedelta_cases.csv</t>
  </si>
  <si>
    <t xml:space="preserve">1. Read a row from precisedelta_cases.csv  2. Call precisedelta(timedelta(seconds), minimum_unit, format)  3. Compare with expected</t>
  </si>
  <si>
    <t xml:space="preserve">tests_assignment/test_data_driven_csv.py::test_precisedelta_from_csv</t>
  </si>
  <si>
    <t xml:space="preserve">Row ID</t>
  </si>
  <si>
    <t xml:space="preserve">Inputs</t>
  </si>
  <si>
    <t xml:space="preserve">Expected</t>
  </si>
  <si>
    <t xml:space="preserve">Technique</t>
  </si>
  <si>
    <t xml:space="preserve">Result</t>
  </si>
  <si>
    <t xml:space="preserve">O-01</t>
  </si>
  <si>
    <t xml:space="preserve">value=1</t>
  </si>
  <si>
    <t xml:space="preserve">1st</t>
  </si>
  <si>
    <t xml:space="preserve">ECP</t>
  </si>
  <si>
    <t xml:space="preserve">Pass</t>
  </si>
  <si>
    <t xml:space="preserve">O-02</t>
  </si>
  <si>
    <t xml:space="preserve">value=2</t>
  </si>
  <si>
    <t xml:space="preserve">2nd</t>
  </si>
  <si>
    <t xml:space="preserve">O-03</t>
  </si>
  <si>
    <t xml:space="preserve">value=3</t>
  </si>
  <si>
    <t xml:space="preserve">3rd</t>
  </si>
  <si>
    <t xml:space="preserve">O-04</t>
  </si>
  <si>
    <t xml:space="preserve">value=4</t>
  </si>
  <si>
    <t xml:space="preserve">4th</t>
  </si>
  <si>
    <t xml:space="preserve">O-05</t>
  </si>
  <si>
    <t xml:space="preserve">value=11</t>
  </si>
  <si>
    <t xml:space="preserve">11th</t>
  </si>
  <si>
    <t xml:space="preserve">BVA</t>
  </si>
  <si>
    <t xml:space="preserve">O-06</t>
  </si>
  <si>
    <t xml:space="preserve">value=12</t>
  </si>
  <si>
    <t xml:space="preserve">12th</t>
  </si>
  <si>
    <t xml:space="preserve">O-07</t>
  </si>
  <si>
    <t xml:space="preserve">value=13</t>
  </si>
  <si>
    <t xml:space="preserve">13th</t>
  </si>
  <si>
    <t xml:space="preserve">O-08</t>
  </si>
  <si>
    <t xml:space="preserve">value=21</t>
  </si>
  <si>
    <t xml:space="preserve">21st</t>
  </si>
  <si>
    <t xml:space="preserve">O-09</t>
  </si>
  <si>
    <t xml:space="preserve">value=101</t>
  </si>
  <si>
    <t xml:space="preserve">101st</t>
  </si>
  <si>
    <t xml:space="preserve">O-10</t>
  </si>
  <si>
    <t xml:space="preserve">value=111</t>
  </si>
  <si>
    <t xml:space="preserve">111th</t>
  </si>
  <si>
    <t xml:space="preserve">O-11</t>
  </si>
  <si>
    <t xml:space="preserve">value=0</t>
  </si>
  <si>
    <t xml:space="preserve">0th</t>
  </si>
  <si>
    <t xml:space="preserve">O-12</t>
  </si>
  <si>
    <t xml:space="preserve">value=abc</t>
  </si>
  <si>
    <t xml:space="preserve">abc</t>
  </si>
  <si>
    <t xml:space="preserve">Negative</t>
  </si>
  <si>
    <t xml:space="preserve">O-13</t>
  </si>
  <si>
    <t xml:space="preserve">value=None</t>
  </si>
  <si>
    <t xml:space="preserve">None</t>
  </si>
  <si>
    <t xml:space="preserve">O-14</t>
  </si>
  <si>
    <t xml:space="preserve">value=inf</t>
  </si>
  <si>
    <t xml:space="preserve">+Inf</t>
  </si>
  <si>
    <t xml:space="preserve">O-15</t>
  </si>
  <si>
    <t xml:space="preserve">value=nan</t>
  </si>
  <si>
    <t xml:space="preserve">NaN</t>
  </si>
  <si>
    <t xml:space="preserve">I-01</t>
  </si>
  <si>
    <t xml:space="preserve">0</t>
  </si>
  <si>
    <t xml:space="preserve">I-02</t>
  </si>
  <si>
    <t xml:space="preserve">value=999</t>
  </si>
  <si>
    <t xml:space="preserve">999</t>
  </si>
  <si>
    <t xml:space="preserve">I-03</t>
  </si>
  <si>
    <t xml:space="preserve">value=1000</t>
  </si>
  <si>
    <t xml:space="preserve">1,000</t>
  </si>
  <si>
    <t xml:space="preserve">I-04</t>
  </si>
  <si>
    <t xml:space="preserve">value=-1000</t>
  </si>
  <si>
    <t xml:space="preserve">-1,000</t>
  </si>
  <si>
    <t xml:space="preserve">I-05</t>
  </si>
  <si>
    <t xml:space="preserve">value=1234567</t>
  </si>
  <si>
    <t xml:space="preserve">1,234,567</t>
  </si>
  <si>
    <t xml:space="preserve">I-06</t>
  </si>
  <si>
    <t xml:space="preserve">value=1234.5</t>
  </si>
  <si>
    <t xml:space="preserve">1,234.5</t>
  </si>
  <si>
    <t xml:space="preserve">I-07</t>
  </si>
  <si>
    <t xml:space="preserve">value=1234.5678, ndigits=2</t>
  </si>
  <si>
    <t xml:space="preserve">1,234.57</t>
  </si>
  <si>
    <t xml:space="preserve">Option</t>
  </si>
  <si>
    <t xml:space="preserve">I-08</t>
  </si>
  <si>
    <t xml:space="preserve">I-09</t>
  </si>
  <si>
    <t xml:space="preserve">A-01</t>
  </si>
  <si>
    <t xml:space="preserve">zero</t>
  </si>
  <si>
    <t xml:space="preserve">A-02</t>
  </si>
  <si>
    <t xml:space="preserve">value=5</t>
  </si>
  <si>
    <t xml:space="preserve">five</t>
  </si>
  <si>
    <t xml:space="preserve">A-03</t>
  </si>
  <si>
    <t xml:space="preserve">value=9</t>
  </si>
  <si>
    <t xml:space="preserve">nine</t>
  </si>
  <si>
    <t xml:space="preserve">A-04</t>
  </si>
  <si>
    <t xml:space="preserve">value=10</t>
  </si>
  <si>
    <t xml:space="preserve">10</t>
  </si>
  <si>
    <t xml:space="preserve">A-05</t>
  </si>
  <si>
    <t xml:space="preserve">value=-1</t>
  </si>
  <si>
    <t xml:space="preserve">-1</t>
  </si>
  <si>
    <t xml:space="preserve">A-06</t>
  </si>
  <si>
    <t xml:space="preserve">A-07</t>
  </si>
  <si>
    <t xml:space="preserve">S-01</t>
  </si>
  <si>
    <t xml:space="preserve">0 Bytes</t>
  </si>
  <si>
    <t xml:space="preserve">S-02</t>
  </si>
  <si>
    <t xml:space="preserve">1 Byte</t>
  </si>
  <si>
    <t xml:space="preserve">S-03</t>
  </si>
  <si>
    <t xml:space="preserve">999 Bytes</t>
  </si>
  <si>
    <t xml:space="preserve">S-04</t>
  </si>
  <si>
    <t xml:space="preserve">1.0 kB</t>
  </si>
  <si>
    <t xml:space="preserve">S-05</t>
  </si>
  <si>
    <t xml:space="preserve">value=999999</t>
  </si>
  <si>
    <t xml:space="preserve">1.0 MB</t>
  </si>
  <si>
    <t xml:space="preserve">S-06</t>
  </si>
  <si>
    <t xml:space="preserve">value=1023, binary=true</t>
  </si>
  <si>
    <t xml:space="preserve">1023 Bytes</t>
  </si>
  <si>
    <t xml:space="preserve">S-07</t>
  </si>
  <si>
    <t xml:space="preserve">value=1024, binary=true</t>
  </si>
  <si>
    <t xml:space="preserve">1.0 KiB</t>
  </si>
  <si>
    <t xml:space="preserve">S-08</t>
  </si>
  <si>
    <t xml:space="preserve">value=1048576, binary=true</t>
  </si>
  <si>
    <t xml:space="preserve">1.0 MiB</t>
  </si>
  <si>
    <t xml:space="preserve">S-09</t>
  </si>
  <si>
    <t xml:space="preserve">-1.0 kB</t>
  </si>
  <si>
    <t xml:space="preserve">S-10</t>
  </si>
  <si>
    <t xml:space="preserve">value=3000, gnu=true, format=%.3f</t>
  </si>
  <si>
    <t xml:space="preserve">2.930K</t>
  </si>
  <si>
    <t xml:space="preserve">S-11</t>
  </si>
  <si>
    <t xml:space="preserve">value=300, gnu=true</t>
  </si>
  <si>
    <t xml:space="preserve">300B</t>
  </si>
  <si>
    <t xml:space="preserve">S-12</t>
  </si>
  <si>
    <t xml:space="preserve">value=1536, binary=true, format=%.0f</t>
  </si>
  <si>
    <t xml:space="preserve">2 KiB</t>
  </si>
  <si>
    <t xml:space="preserve">S-13</t>
  </si>
  <si>
    <t xml:space="preserve">value=1e30</t>
  </si>
  <si>
    <t xml:space="preserve">1.0 QB</t>
  </si>
  <si>
    <t xml:space="preserve">D-01</t>
  </si>
  <si>
    <t xml:space="preserve">seconds=0</t>
  </si>
  <si>
    <t xml:space="preserve">a moment</t>
  </si>
  <si>
    <t xml:space="preserve">D-02</t>
  </si>
  <si>
    <t xml:space="preserve">seconds=1</t>
  </si>
  <si>
    <t xml:space="preserve">a second</t>
  </si>
  <si>
    <t xml:space="preserve">D-03</t>
  </si>
  <si>
    <t xml:space="preserve">seconds=59</t>
  </si>
  <si>
    <t xml:space="preserve">59 seconds</t>
  </si>
  <si>
    <t xml:space="preserve">D-04</t>
  </si>
  <si>
    <t xml:space="preserve">seconds=60</t>
  </si>
  <si>
    <t xml:space="preserve">a minute</t>
  </si>
  <si>
    <t xml:space="preserve">D-05</t>
  </si>
  <si>
    <t xml:space="preserve">seconds=90</t>
  </si>
  <si>
    <t xml:space="preserve">2 minutes</t>
  </si>
  <si>
    <t xml:space="preserve">D-06</t>
  </si>
  <si>
    <t xml:space="preserve">seconds=3599</t>
  </si>
  <si>
    <t xml:space="preserve">an hour</t>
  </si>
  <si>
    <t xml:space="preserve">D-07</t>
  </si>
  <si>
    <t xml:space="preserve">seconds=86399</t>
  </si>
  <si>
    <t xml:space="preserve">a day</t>
  </si>
  <si>
    <t xml:space="preserve">D-08</t>
  </si>
  <si>
    <t xml:space="preserve">seconds=172800</t>
  </si>
  <si>
    <t xml:space="preserve">2 days</t>
  </si>
  <si>
    <t xml:space="preserve">D-09</t>
  </si>
  <si>
    <t xml:space="preserve">seconds=31536000</t>
  </si>
  <si>
    <t xml:space="preserve">a year</t>
  </si>
  <si>
    <t xml:space="preserve">D-10</t>
  </si>
  <si>
    <t xml:space="preserve">seconds=3888000, months=false</t>
  </si>
  <si>
    <t xml:space="preserve">45 days</t>
  </si>
  <si>
    <t xml:space="preserve">D-11</t>
  </si>
  <si>
    <t xml:space="preserve">seconds=0.5, minimum_unit=milliseconds</t>
  </si>
  <si>
    <t xml:space="preserve">500 milliseconds</t>
  </si>
  <si>
    <t xml:space="preserve">D-12</t>
  </si>
  <si>
    <t xml:space="preserve">seconds=-60</t>
  </si>
  <si>
    <t xml:space="preserve">P-01</t>
  </si>
  <si>
    <t xml:space="preserve">0 seconds</t>
  </si>
  <si>
    <t xml:space="preserve">P-02</t>
  </si>
  <si>
    <t xml:space="preserve">P-03</t>
  </si>
  <si>
    <t xml:space="preserve">1 minute</t>
  </si>
  <si>
    <t xml:space="preserve">P-04</t>
  </si>
  <si>
    <t xml:space="preserve">seconds=61</t>
  </si>
  <si>
    <t xml:space="preserve">1 minute and 1 second</t>
  </si>
  <si>
    <t xml:space="preserve">P-05</t>
  </si>
  <si>
    <t xml:space="preserve">seconds=3600</t>
  </si>
  <si>
    <t xml:space="preserve">1 hour</t>
  </si>
  <si>
    <t xml:space="preserve">P-06</t>
  </si>
  <si>
    <t xml:space="preserve">1 minute and 30 seconds</t>
  </si>
  <si>
    <t xml:space="preserve">P-07</t>
  </si>
  <si>
    <t xml:space="preserve">seconds=3660, minimum_unit=hours</t>
  </si>
  <si>
    <t xml:space="preserve">1.02 hours</t>
  </si>
  <si>
    <t xml:space="preserve">P-08</t>
  </si>
  <si>
    <t xml:space="preserve">seconds=1.5, minimum_unit=seconds, format=%0.1f</t>
  </si>
  <si>
    <t xml:space="preserve">1.5 seconds</t>
  </si>
  <si>
    <t xml:space="preserve">P-09</t>
  </si>
  <si>
    <t xml:space="preserve">seconds=34560000</t>
  </si>
  <si>
    <t xml:space="preserve">1 year, 1 month and 4 days</t>
  </si>
  <si>
    <t xml:space="preserve">P-10</t>
  </si>
  <si>
    <t xml:space="preserve">seconds=176433.123</t>
  </si>
  <si>
    <t xml:space="preserve">2 days, 1 hour and 33.12 seconds</t>
  </si>
  <si>
    <t xml:space="preserve">Data-driven test summary (all figures are formulas over 'Test Data')</t>
  </si>
  <si>
    <t xml:space="preserve">Metric</t>
  </si>
  <si>
    <t xml:space="preserve">Value</t>
  </si>
  <si>
    <t xml:space="preserve">Test cases (TC)</t>
  </si>
  <si>
    <t xml:space="preserve">Data rows executed</t>
  </si>
  <si>
    <t xml:space="preserve">Rows passed</t>
  </si>
  <si>
    <t xml:space="preserve">Overall pass rate</t>
  </si>
  <si>
    <t xml:space="preserve">BVA rows</t>
  </si>
  <si>
    <t xml:space="preserve">ECP rows</t>
  </si>
  <si>
    <t xml:space="preserve">Option-coverage rows</t>
  </si>
  <si>
    <t xml:space="preserve">Negative / error-guessing rows</t>
  </si>
  <si>
    <t xml:space="preserve">Source: results come from pytest JUnit output (reports/data_driven.xml); regenerate with scripts/build_excel.py.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</si>
</sst>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6" min="6" style="0" width="4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4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n">
        <f aca="false">COUNTIF('Test Data'!$A$2:$A$67,A2)</f>
        <v>15</v>
      </c>
      <c r="H2" s="3" t="n">
        <f aca="false">COUNTIFS('Test Data'!$A$2:$A$67,A2,'Test Data'!$G$2:$G$67,"Pass")</f>
        <v>15</v>
      </c>
      <c r="I2" s="4" t="n">
        <f aca="false">IF(G2=0,0,H2/G2)</f>
        <v>1</v>
      </c>
      <c r="J2" s="3" t="str">
        <f aca="false">IF(H2=G2,"Pass","Check")</f>
        <v>Pass</v>
      </c>
      <c r="K2" s="2" t="s">
        <v>17</v>
      </c>
    </row>
    <row r="3" customFormat="false" ht="23.85" hidden="false" customHeight="false" outlineLevel="0" collapsed="false">
      <c r="A3" s="2" t="s">
        <v>18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22</v>
      </c>
      <c r="G3" s="3" t="n">
        <f aca="false">COUNTIF('Test Data'!$A$2:$A$67,A3)</f>
        <v>9</v>
      </c>
      <c r="H3" s="3" t="n">
        <f aca="false">COUNTIFS('Test Data'!$A$2:$A$67,A3,'Test Data'!$G$2:$G$67,"Pass")</f>
        <v>9</v>
      </c>
      <c r="I3" s="4" t="n">
        <f aca="false">IF(G3=0,0,H3/G3)</f>
        <v>1</v>
      </c>
      <c r="J3" s="3" t="str">
        <f aca="false">IF(H3=G3,"Pass","Check")</f>
        <v>Pass</v>
      </c>
      <c r="K3" s="2" t="s">
        <v>23</v>
      </c>
    </row>
    <row r="4" customFormat="false" ht="23.85" hidden="false" customHeight="false" outlineLevel="0" collapsed="false">
      <c r="A4" s="2" t="s">
        <v>24</v>
      </c>
      <c r="B4" s="2" t="s">
        <v>12</v>
      </c>
      <c r="C4" s="2" t="s">
        <v>25</v>
      </c>
      <c r="D4" s="2" t="s">
        <v>26</v>
      </c>
      <c r="E4" s="2" t="s">
        <v>27</v>
      </c>
      <c r="F4" s="2" t="s">
        <v>28</v>
      </c>
      <c r="G4" s="3" t="n">
        <f aca="false">COUNTIF('Test Data'!$A$2:$A$67,A4)</f>
        <v>7</v>
      </c>
      <c r="H4" s="3" t="n">
        <f aca="false">COUNTIFS('Test Data'!$A$2:$A$67,A4,'Test Data'!$G$2:$G$67,"Pass")</f>
        <v>7</v>
      </c>
      <c r="I4" s="4" t="n">
        <f aca="false">IF(G4=0,0,H4/G4)</f>
        <v>1</v>
      </c>
      <c r="J4" s="3" t="str">
        <f aca="false">IF(H4=G4,"Pass","Check")</f>
        <v>Pass</v>
      </c>
      <c r="K4" s="2" t="s">
        <v>29</v>
      </c>
    </row>
    <row r="5" customFormat="false" ht="35.0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3" t="n">
        <f aca="false">COUNTIF('Test Data'!$A$2:$A$67,A5)</f>
        <v>13</v>
      </c>
      <c r="H5" s="3" t="n">
        <f aca="false">COUNTIFS('Test Data'!$A$2:$A$67,A5,'Test Data'!$G$2:$G$67,"Pass")</f>
        <v>13</v>
      </c>
      <c r="I5" s="4" t="n">
        <f aca="false">IF(G5=0,0,H5/G5)</f>
        <v>1</v>
      </c>
      <c r="J5" s="3" t="str">
        <f aca="false">IF(H5=G5,"Pass","Check")</f>
        <v>Pass</v>
      </c>
      <c r="K5" s="2" t="s">
        <v>36</v>
      </c>
    </row>
    <row r="6" customFormat="false" ht="35.05" hidden="false" customHeight="false" outlineLevel="0" collapsed="false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3" t="n">
        <f aca="false">COUNTIF('Test Data'!$A$2:$A$67,A6)</f>
        <v>12</v>
      </c>
      <c r="H6" s="3" t="n">
        <f aca="false">COUNTIFS('Test Data'!$A$2:$A$67,A6,'Test Data'!$G$2:$G$67,"Pass")</f>
        <v>12</v>
      </c>
      <c r="I6" s="4" t="n">
        <f aca="false">IF(G6=0,0,H6/G6)</f>
        <v>1</v>
      </c>
      <c r="J6" s="3" t="str">
        <f aca="false">IF(H6=G6,"Pass","Check")</f>
        <v>Pass</v>
      </c>
      <c r="K6" s="2" t="s">
        <v>43</v>
      </c>
    </row>
    <row r="7" customFormat="false" ht="35.05" hidden="false" customHeight="false" outlineLevel="0" collapsed="false">
      <c r="A7" s="2" t="s">
        <v>44</v>
      </c>
      <c r="B7" s="2" t="s">
        <v>38</v>
      </c>
      <c r="C7" s="2" t="s">
        <v>45</v>
      </c>
      <c r="D7" s="2" t="s">
        <v>46</v>
      </c>
      <c r="E7" s="2" t="s">
        <v>47</v>
      </c>
      <c r="F7" s="2" t="s">
        <v>48</v>
      </c>
      <c r="G7" s="3" t="n">
        <f aca="false">COUNTIF('Test Data'!$A$2:$A$67,A7)</f>
        <v>10</v>
      </c>
      <c r="H7" s="3" t="n">
        <f aca="false">COUNTIFS('Test Data'!$A$2:$A$67,A7,'Test Data'!$G$2:$G$67,"Pass")</f>
        <v>10</v>
      </c>
      <c r="I7" s="4" t="n">
        <f aca="false">IF(G7=0,0,H7/G7)</f>
        <v>1</v>
      </c>
      <c r="J7" s="3" t="str">
        <f aca="false">IF(H7=G7,"Pass","Check")</f>
        <v>Pass</v>
      </c>
      <c r="K7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52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customFormat="false" ht="15" hidden="false" customHeight="false" outlineLevel="0" collapsed="false">
      <c r="A2" s="2" t="s">
        <v>11</v>
      </c>
      <c r="B2" s="2" t="s">
        <v>13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</row>
    <row r="3" customFormat="false" ht="15" hidden="false" customHeight="false" outlineLevel="0" collapsed="false">
      <c r="A3" s="2" t="s">
        <v>11</v>
      </c>
      <c r="B3" s="2" t="s">
        <v>13</v>
      </c>
      <c r="C3" s="2" t="s">
        <v>60</v>
      </c>
      <c r="D3" s="2" t="s">
        <v>61</v>
      </c>
      <c r="E3" s="2" t="s">
        <v>62</v>
      </c>
      <c r="F3" s="2" t="s">
        <v>58</v>
      </c>
      <c r="G3" s="2" t="s">
        <v>59</v>
      </c>
    </row>
    <row r="4" customFormat="false" ht="15" hidden="false" customHeight="false" outlineLevel="0" collapsed="false">
      <c r="A4" s="2" t="s">
        <v>11</v>
      </c>
      <c r="B4" s="2" t="s">
        <v>13</v>
      </c>
      <c r="C4" s="2" t="s">
        <v>63</v>
      </c>
      <c r="D4" s="2" t="s">
        <v>64</v>
      </c>
      <c r="E4" s="2" t="s">
        <v>65</v>
      </c>
      <c r="F4" s="2" t="s">
        <v>58</v>
      </c>
      <c r="G4" s="2" t="s">
        <v>59</v>
      </c>
    </row>
    <row r="5" customFormat="false" ht="15" hidden="false" customHeight="false" outlineLevel="0" collapsed="false">
      <c r="A5" s="2" t="s">
        <v>11</v>
      </c>
      <c r="B5" s="2" t="s">
        <v>13</v>
      </c>
      <c r="C5" s="2" t="s">
        <v>66</v>
      </c>
      <c r="D5" s="2" t="s">
        <v>67</v>
      </c>
      <c r="E5" s="2" t="s">
        <v>68</v>
      </c>
      <c r="F5" s="2" t="s">
        <v>58</v>
      </c>
      <c r="G5" s="2" t="s">
        <v>59</v>
      </c>
    </row>
    <row r="6" customFormat="false" ht="15" hidden="false" customHeight="false" outlineLevel="0" collapsed="false">
      <c r="A6" s="2" t="s">
        <v>11</v>
      </c>
      <c r="B6" s="2" t="s">
        <v>13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59</v>
      </c>
    </row>
    <row r="7" customFormat="false" ht="15" hidden="false" customHeight="false" outlineLevel="0" collapsed="false">
      <c r="A7" s="2" t="s">
        <v>11</v>
      </c>
      <c r="B7" s="2" t="s">
        <v>13</v>
      </c>
      <c r="C7" s="2" t="s">
        <v>73</v>
      </c>
      <c r="D7" s="2" t="s">
        <v>74</v>
      </c>
      <c r="E7" s="2" t="s">
        <v>75</v>
      </c>
      <c r="F7" s="2" t="s">
        <v>72</v>
      </c>
      <c r="G7" s="2" t="s">
        <v>59</v>
      </c>
    </row>
    <row r="8" customFormat="false" ht="15" hidden="false" customHeight="false" outlineLevel="0" collapsed="false">
      <c r="A8" s="2" t="s">
        <v>11</v>
      </c>
      <c r="B8" s="2" t="s">
        <v>13</v>
      </c>
      <c r="C8" s="2" t="s">
        <v>76</v>
      </c>
      <c r="D8" s="2" t="s">
        <v>77</v>
      </c>
      <c r="E8" s="2" t="s">
        <v>78</v>
      </c>
      <c r="F8" s="2" t="s">
        <v>72</v>
      </c>
      <c r="G8" s="2" t="s">
        <v>59</v>
      </c>
    </row>
    <row r="9" customFormat="false" ht="15" hidden="false" customHeight="false" outlineLevel="0" collapsed="false">
      <c r="A9" s="2" t="s">
        <v>11</v>
      </c>
      <c r="B9" s="2" t="s">
        <v>13</v>
      </c>
      <c r="C9" s="2" t="s">
        <v>79</v>
      </c>
      <c r="D9" s="2" t="s">
        <v>80</v>
      </c>
      <c r="E9" s="2" t="s">
        <v>81</v>
      </c>
      <c r="F9" s="2" t="s">
        <v>58</v>
      </c>
      <c r="G9" s="2" t="s">
        <v>59</v>
      </c>
    </row>
    <row r="10" customFormat="false" ht="15" hidden="false" customHeight="false" outlineLevel="0" collapsed="false">
      <c r="A10" s="2" t="s">
        <v>11</v>
      </c>
      <c r="B10" s="2" t="s">
        <v>13</v>
      </c>
      <c r="C10" s="2" t="s">
        <v>82</v>
      </c>
      <c r="D10" s="2" t="s">
        <v>83</v>
      </c>
      <c r="E10" s="2" t="s">
        <v>84</v>
      </c>
      <c r="F10" s="2" t="s">
        <v>58</v>
      </c>
      <c r="G10" s="2" t="s">
        <v>59</v>
      </c>
    </row>
    <row r="11" customFormat="false" ht="15" hidden="false" customHeight="false" outlineLevel="0" collapsed="false">
      <c r="A11" s="2" t="s">
        <v>11</v>
      </c>
      <c r="B11" s="2" t="s">
        <v>13</v>
      </c>
      <c r="C11" s="2" t="s">
        <v>85</v>
      </c>
      <c r="D11" s="2" t="s">
        <v>86</v>
      </c>
      <c r="E11" s="2" t="s">
        <v>87</v>
      </c>
      <c r="F11" s="2" t="s">
        <v>72</v>
      </c>
      <c r="G11" s="2" t="s">
        <v>59</v>
      </c>
    </row>
    <row r="12" customFormat="false" ht="15" hidden="false" customHeight="false" outlineLevel="0" collapsed="false">
      <c r="A12" s="2" t="s">
        <v>11</v>
      </c>
      <c r="B12" s="2" t="s">
        <v>13</v>
      </c>
      <c r="C12" s="2" t="s">
        <v>88</v>
      </c>
      <c r="D12" s="2" t="s">
        <v>89</v>
      </c>
      <c r="E12" s="2" t="s">
        <v>90</v>
      </c>
      <c r="F12" s="2" t="s">
        <v>72</v>
      </c>
      <c r="G12" s="2" t="s">
        <v>59</v>
      </c>
    </row>
    <row r="13" customFormat="false" ht="15" hidden="false" customHeight="false" outlineLevel="0" collapsed="false">
      <c r="A13" s="2" t="s">
        <v>11</v>
      </c>
      <c r="B13" s="2" t="s">
        <v>13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59</v>
      </c>
    </row>
    <row r="14" customFormat="false" ht="15" hidden="false" customHeight="false" outlineLevel="0" collapsed="false">
      <c r="A14" s="2" t="s">
        <v>11</v>
      </c>
      <c r="B14" s="2" t="s">
        <v>13</v>
      </c>
      <c r="C14" s="2" t="s">
        <v>95</v>
      </c>
      <c r="D14" s="2" t="s">
        <v>96</v>
      </c>
      <c r="E14" s="2" t="s">
        <v>97</v>
      </c>
      <c r="F14" s="2" t="s">
        <v>94</v>
      </c>
      <c r="G14" s="2" t="s">
        <v>59</v>
      </c>
    </row>
    <row r="15" customFormat="false" ht="15" hidden="false" customHeight="false" outlineLevel="0" collapsed="false">
      <c r="A15" s="2" t="s">
        <v>11</v>
      </c>
      <c r="B15" s="2" t="s">
        <v>13</v>
      </c>
      <c r="C15" s="2" t="s">
        <v>98</v>
      </c>
      <c r="D15" s="2" t="s">
        <v>99</v>
      </c>
      <c r="E15" s="2" t="s">
        <v>100</v>
      </c>
      <c r="F15" s="2" t="s">
        <v>94</v>
      </c>
      <c r="G15" s="2" t="s">
        <v>59</v>
      </c>
    </row>
    <row r="16" customFormat="false" ht="15" hidden="false" customHeight="false" outlineLevel="0" collapsed="false">
      <c r="A16" s="2" t="s">
        <v>11</v>
      </c>
      <c r="B16" s="2" t="s">
        <v>13</v>
      </c>
      <c r="C16" s="2" t="s">
        <v>101</v>
      </c>
      <c r="D16" s="2" t="s">
        <v>102</v>
      </c>
      <c r="E16" s="2" t="s">
        <v>103</v>
      </c>
      <c r="F16" s="2" t="s">
        <v>94</v>
      </c>
      <c r="G16" s="2" t="s">
        <v>59</v>
      </c>
    </row>
    <row r="17" customFormat="false" ht="15" hidden="false" customHeight="false" outlineLevel="0" collapsed="false">
      <c r="A17" s="2" t="s">
        <v>18</v>
      </c>
      <c r="B17" s="2" t="s">
        <v>19</v>
      </c>
      <c r="C17" s="2" t="s">
        <v>104</v>
      </c>
      <c r="D17" s="2" t="s">
        <v>89</v>
      </c>
      <c r="E17" s="2" t="s">
        <v>105</v>
      </c>
      <c r="F17" s="2" t="s">
        <v>72</v>
      </c>
      <c r="G17" s="2" t="s">
        <v>59</v>
      </c>
    </row>
    <row r="18" customFormat="false" ht="15" hidden="false" customHeight="false" outlineLevel="0" collapsed="false">
      <c r="A18" s="2" t="s">
        <v>18</v>
      </c>
      <c r="B18" s="2" t="s">
        <v>19</v>
      </c>
      <c r="C18" s="2" t="s">
        <v>106</v>
      </c>
      <c r="D18" s="2" t="s">
        <v>107</v>
      </c>
      <c r="E18" s="2" t="s">
        <v>108</v>
      </c>
      <c r="F18" s="2" t="s">
        <v>72</v>
      </c>
      <c r="G18" s="2" t="s">
        <v>59</v>
      </c>
    </row>
    <row r="19" customFormat="false" ht="15" hidden="false" customHeight="false" outlineLevel="0" collapsed="false">
      <c r="A19" s="2" t="s">
        <v>18</v>
      </c>
      <c r="B19" s="2" t="s">
        <v>19</v>
      </c>
      <c r="C19" s="2" t="s">
        <v>109</v>
      </c>
      <c r="D19" s="2" t="s">
        <v>110</v>
      </c>
      <c r="E19" s="2" t="s">
        <v>111</v>
      </c>
      <c r="F19" s="2" t="s">
        <v>72</v>
      </c>
      <c r="G19" s="2" t="s">
        <v>59</v>
      </c>
    </row>
    <row r="20" customFormat="false" ht="15" hidden="false" customHeight="false" outlineLevel="0" collapsed="false">
      <c r="A20" s="2" t="s">
        <v>18</v>
      </c>
      <c r="B20" s="2" t="s">
        <v>19</v>
      </c>
      <c r="C20" s="2" t="s">
        <v>112</v>
      </c>
      <c r="D20" s="2" t="s">
        <v>113</v>
      </c>
      <c r="E20" s="2" t="s">
        <v>114</v>
      </c>
      <c r="F20" s="2" t="s">
        <v>58</v>
      </c>
      <c r="G20" s="2" t="s">
        <v>59</v>
      </c>
    </row>
    <row r="21" customFormat="false" ht="15" hidden="false" customHeight="false" outlineLevel="0" collapsed="false">
      <c r="A21" s="2" t="s">
        <v>18</v>
      </c>
      <c r="B21" s="2" t="s">
        <v>19</v>
      </c>
      <c r="C21" s="2" t="s">
        <v>115</v>
      </c>
      <c r="D21" s="2" t="s">
        <v>116</v>
      </c>
      <c r="E21" s="2" t="s">
        <v>117</v>
      </c>
      <c r="F21" s="2" t="s">
        <v>58</v>
      </c>
      <c r="G21" s="2" t="s">
        <v>59</v>
      </c>
    </row>
    <row r="22" customFormat="false" ht="15" hidden="false" customHeight="false" outlineLevel="0" collapsed="false">
      <c r="A22" s="2" t="s">
        <v>18</v>
      </c>
      <c r="B22" s="2" t="s">
        <v>19</v>
      </c>
      <c r="C22" s="2" t="s">
        <v>118</v>
      </c>
      <c r="D22" s="2" t="s">
        <v>119</v>
      </c>
      <c r="E22" s="2" t="s">
        <v>120</v>
      </c>
      <c r="F22" s="2" t="s">
        <v>58</v>
      </c>
      <c r="G22" s="2" t="s">
        <v>59</v>
      </c>
    </row>
    <row r="23" customFormat="false" ht="15" hidden="false" customHeight="false" outlineLevel="0" collapsed="false">
      <c r="A23" s="2" t="s">
        <v>18</v>
      </c>
      <c r="B23" s="2" t="s">
        <v>19</v>
      </c>
      <c r="C23" s="2" t="s">
        <v>121</v>
      </c>
      <c r="D23" s="2" t="s">
        <v>122</v>
      </c>
      <c r="E23" s="2" t="s">
        <v>123</v>
      </c>
      <c r="F23" s="2" t="s">
        <v>124</v>
      </c>
      <c r="G23" s="2" t="s">
        <v>59</v>
      </c>
    </row>
    <row r="24" customFormat="false" ht="15" hidden="false" customHeight="false" outlineLevel="0" collapsed="false">
      <c r="A24" s="2" t="s">
        <v>18</v>
      </c>
      <c r="B24" s="2" t="s">
        <v>19</v>
      </c>
      <c r="C24" s="2" t="s">
        <v>125</v>
      </c>
      <c r="D24" s="2" t="s">
        <v>92</v>
      </c>
      <c r="E24" s="2" t="s">
        <v>93</v>
      </c>
      <c r="F24" s="2" t="s">
        <v>94</v>
      </c>
      <c r="G24" s="2" t="s">
        <v>59</v>
      </c>
    </row>
    <row r="25" customFormat="false" ht="15" hidden="false" customHeight="false" outlineLevel="0" collapsed="false">
      <c r="A25" s="2" t="s">
        <v>18</v>
      </c>
      <c r="B25" s="2" t="s">
        <v>19</v>
      </c>
      <c r="C25" s="2" t="s">
        <v>126</v>
      </c>
      <c r="D25" s="2" t="s">
        <v>99</v>
      </c>
      <c r="E25" s="2" t="s">
        <v>100</v>
      </c>
      <c r="F25" s="2" t="s">
        <v>94</v>
      </c>
      <c r="G25" s="2" t="s">
        <v>59</v>
      </c>
    </row>
    <row r="26" customFormat="false" ht="15" hidden="false" customHeight="false" outlineLevel="0" collapsed="false">
      <c r="A26" s="2" t="s">
        <v>24</v>
      </c>
      <c r="B26" s="2" t="s">
        <v>25</v>
      </c>
      <c r="C26" s="2" t="s">
        <v>127</v>
      </c>
      <c r="D26" s="2" t="s">
        <v>89</v>
      </c>
      <c r="E26" s="2" t="s">
        <v>128</v>
      </c>
      <c r="F26" s="2" t="s">
        <v>72</v>
      </c>
      <c r="G26" s="2" t="s">
        <v>59</v>
      </c>
    </row>
    <row r="27" customFormat="false" ht="15" hidden="false" customHeight="false" outlineLevel="0" collapsed="false">
      <c r="A27" s="2" t="s">
        <v>24</v>
      </c>
      <c r="B27" s="2" t="s">
        <v>25</v>
      </c>
      <c r="C27" s="2" t="s">
        <v>129</v>
      </c>
      <c r="D27" s="2" t="s">
        <v>130</v>
      </c>
      <c r="E27" s="2" t="s">
        <v>131</v>
      </c>
      <c r="F27" s="2" t="s">
        <v>58</v>
      </c>
      <c r="G27" s="2" t="s">
        <v>59</v>
      </c>
    </row>
    <row r="28" customFormat="false" ht="15" hidden="false" customHeight="false" outlineLevel="0" collapsed="false">
      <c r="A28" s="2" t="s">
        <v>24</v>
      </c>
      <c r="B28" s="2" t="s">
        <v>25</v>
      </c>
      <c r="C28" s="2" t="s">
        <v>132</v>
      </c>
      <c r="D28" s="2" t="s">
        <v>133</v>
      </c>
      <c r="E28" s="2" t="s">
        <v>134</v>
      </c>
      <c r="F28" s="2" t="s">
        <v>72</v>
      </c>
      <c r="G28" s="2" t="s">
        <v>59</v>
      </c>
    </row>
    <row r="29" customFormat="false" ht="15" hidden="false" customHeight="false" outlineLevel="0" collapsed="false">
      <c r="A29" s="2" t="s">
        <v>24</v>
      </c>
      <c r="B29" s="2" t="s">
        <v>25</v>
      </c>
      <c r="C29" s="2" t="s">
        <v>135</v>
      </c>
      <c r="D29" s="2" t="s">
        <v>136</v>
      </c>
      <c r="E29" s="2" t="s">
        <v>137</v>
      </c>
      <c r="F29" s="2" t="s">
        <v>72</v>
      </c>
      <c r="G29" s="2" t="s">
        <v>59</v>
      </c>
    </row>
    <row r="30" customFormat="false" ht="15" hidden="false" customHeight="false" outlineLevel="0" collapsed="false">
      <c r="A30" s="2" t="s">
        <v>24</v>
      </c>
      <c r="B30" s="2" t="s">
        <v>25</v>
      </c>
      <c r="C30" s="2" t="s">
        <v>138</v>
      </c>
      <c r="D30" s="2" t="s">
        <v>139</v>
      </c>
      <c r="E30" s="2" t="s">
        <v>140</v>
      </c>
      <c r="F30" s="2" t="s">
        <v>72</v>
      </c>
      <c r="G30" s="2" t="s">
        <v>59</v>
      </c>
    </row>
    <row r="31" customFormat="false" ht="15" hidden="false" customHeight="false" outlineLevel="0" collapsed="false">
      <c r="A31" s="2" t="s">
        <v>24</v>
      </c>
      <c r="B31" s="2" t="s">
        <v>25</v>
      </c>
      <c r="C31" s="2" t="s">
        <v>141</v>
      </c>
      <c r="D31" s="2" t="s">
        <v>92</v>
      </c>
      <c r="E31" s="2" t="s">
        <v>93</v>
      </c>
      <c r="F31" s="2" t="s">
        <v>94</v>
      </c>
      <c r="G31" s="2" t="s">
        <v>59</v>
      </c>
    </row>
    <row r="32" customFormat="false" ht="15" hidden="false" customHeight="false" outlineLevel="0" collapsed="false">
      <c r="A32" s="2" t="s">
        <v>24</v>
      </c>
      <c r="B32" s="2" t="s">
        <v>25</v>
      </c>
      <c r="C32" s="2" t="s">
        <v>142</v>
      </c>
      <c r="D32" s="2" t="s">
        <v>102</v>
      </c>
      <c r="E32" s="2" t="s">
        <v>103</v>
      </c>
      <c r="F32" s="2" t="s">
        <v>94</v>
      </c>
      <c r="G32" s="2" t="s">
        <v>59</v>
      </c>
    </row>
    <row r="33" customFormat="false" ht="15" hidden="false" customHeight="false" outlineLevel="0" collapsed="false">
      <c r="A33" s="2" t="s">
        <v>30</v>
      </c>
      <c r="B33" s="2" t="s">
        <v>32</v>
      </c>
      <c r="C33" s="2" t="s">
        <v>143</v>
      </c>
      <c r="D33" s="2" t="s">
        <v>89</v>
      </c>
      <c r="E33" s="2" t="s">
        <v>144</v>
      </c>
      <c r="F33" s="2" t="s">
        <v>72</v>
      </c>
      <c r="G33" s="2" t="s">
        <v>59</v>
      </c>
    </row>
    <row r="34" customFormat="false" ht="15" hidden="false" customHeight="false" outlineLevel="0" collapsed="false">
      <c r="A34" s="2" t="s">
        <v>30</v>
      </c>
      <c r="B34" s="2" t="s">
        <v>32</v>
      </c>
      <c r="C34" s="2" t="s">
        <v>145</v>
      </c>
      <c r="D34" s="2" t="s">
        <v>56</v>
      </c>
      <c r="E34" s="2" t="s">
        <v>146</v>
      </c>
      <c r="F34" s="2" t="s">
        <v>72</v>
      </c>
      <c r="G34" s="2" t="s">
        <v>59</v>
      </c>
    </row>
    <row r="35" customFormat="false" ht="15" hidden="false" customHeight="false" outlineLevel="0" collapsed="false">
      <c r="A35" s="2" t="s">
        <v>30</v>
      </c>
      <c r="B35" s="2" t="s">
        <v>32</v>
      </c>
      <c r="C35" s="2" t="s">
        <v>147</v>
      </c>
      <c r="D35" s="2" t="s">
        <v>107</v>
      </c>
      <c r="E35" s="2" t="s">
        <v>148</v>
      </c>
      <c r="F35" s="2" t="s">
        <v>72</v>
      </c>
      <c r="G35" s="2" t="s">
        <v>59</v>
      </c>
    </row>
    <row r="36" customFormat="false" ht="15" hidden="false" customHeight="false" outlineLevel="0" collapsed="false">
      <c r="A36" s="2" t="s">
        <v>30</v>
      </c>
      <c r="B36" s="2" t="s">
        <v>32</v>
      </c>
      <c r="C36" s="2" t="s">
        <v>149</v>
      </c>
      <c r="D36" s="2" t="s">
        <v>110</v>
      </c>
      <c r="E36" s="2" t="s">
        <v>150</v>
      </c>
      <c r="F36" s="2" t="s">
        <v>72</v>
      </c>
      <c r="G36" s="2" t="s">
        <v>59</v>
      </c>
    </row>
    <row r="37" customFormat="false" ht="15" hidden="false" customHeight="false" outlineLevel="0" collapsed="false">
      <c r="A37" s="2" t="s">
        <v>30</v>
      </c>
      <c r="B37" s="2" t="s">
        <v>32</v>
      </c>
      <c r="C37" s="2" t="s">
        <v>151</v>
      </c>
      <c r="D37" s="2" t="s">
        <v>152</v>
      </c>
      <c r="E37" s="2" t="s">
        <v>153</v>
      </c>
      <c r="F37" s="2" t="s">
        <v>72</v>
      </c>
      <c r="G37" s="2" t="s">
        <v>59</v>
      </c>
    </row>
    <row r="38" customFormat="false" ht="15" hidden="false" customHeight="false" outlineLevel="0" collapsed="false">
      <c r="A38" s="2" t="s">
        <v>30</v>
      </c>
      <c r="B38" s="2" t="s">
        <v>32</v>
      </c>
      <c r="C38" s="2" t="s">
        <v>154</v>
      </c>
      <c r="D38" s="2" t="s">
        <v>155</v>
      </c>
      <c r="E38" s="2" t="s">
        <v>156</v>
      </c>
      <c r="F38" s="2" t="s">
        <v>72</v>
      </c>
      <c r="G38" s="2" t="s">
        <v>59</v>
      </c>
    </row>
    <row r="39" customFormat="false" ht="15" hidden="false" customHeight="false" outlineLevel="0" collapsed="false">
      <c r="A39" s="2" t="s">
        <v>30</v>
      </c>
      <c r="B39" s="2" t="s">
        <v>32</v>
      </c>
      <c r="C39" s="2" t="s">
        <v>157</v>
      </c>
      <c r="D39" s="2" t="s">
        <v>158</v>
      </c>
      <c r="E39" s="2" t="s">
        <v>159</v>
      </c>
      <c r="F39" s="2" t="s">
        <v>72</v>
      </c>
      <c r="G39" s="2" t="s">
        <v>59</v>
      </c>
    </row>
    <row r="40" customFormat="false" ht="15" hidden="false" customHeight="false" outlineLevel="0" collapsed="false">
      <c r="A40" s="2" t="s">
        <v>30</v>
      </c>
      <c r="B40" s="2" t="s">
        <v>32</v>
      </c>
      <c r="C40" s="2" t="s">
        <v>160</v>
      </c>
      <c r="D40" s="2" t="s">
        <v>161</v>
      </c>
      <c r="E40" s="2" t="s">
        <v>162</v>
      </c>
      <c r="F40" s="2" t="s">
        <v>72</v>
      </c>
      <c r="G40" s="2" t="s">
        <v>59</v>
      </c>
    </row>
    <row r="41" customFormat="false" ht="15" hidden="false" customHeight="false" outlineLevel="0" collapsed="false">
      <c r="A41" s="2" t="s">
        <v>30</v>
      </c>
      <c r="B41" s="2" t="s">
        <v>32</v>
      </c>
      <c r="C41" s="2" t="s">
        <v>163</v>
      </c>
      <c r="D41" s="2" t="s">
        <v>113</v>
      </c>
      <c r="E41" s="2" t="s">
        <v>164</v>
      </c>
      <c r="F41" s="2" t="s">
        <v>58</v>
      </c>
      <c r="G41" s="2" t="s">
        <v>59</v>
      </c>
    </row>
    <row r="42" customFormat="false" ht="15" hidden="false" customHeight="false" outlineLevel="0" collapsed="false">
      <c r="A42" s="2" t="s">
        <v>30</v>
      </c>
      <c r="B42" s="2" t="s">
        <v>32</v>
      </c>
      <c r="C42" s="2" t="s">
        <v>165</v>
      </c>
      <c r="D42" s="2" t="s">
        <v>166</v>
      </c>
      <c r="E42" s="2" t="s">
        <v>167</v>
      </c>
      <c r="F42" s="2" t="s">
        <v>124</v>
      </c>
      <c r="G42" s="2" t="s">
        <v>59</v>
      </c>
    </row>
    <row r="43" customFormat="false" ht="15" hidden="false" customHeight="false" outlineLevel="0" collapsed="false">
      <c r="A43" s="2" t="s">
        <v>30</v>
      </c>
      <c r="B43" s="2" t="s">
        <v>32</v>
      </c>
      <c r="C43" s="2" t="s">
        <v>168</v>
      </c>
      <c r="D43" s="2" t="s">
        <v>169</v>
      </c>
      <c r="E43" s="2" t="s">
        <v>170</v>
      </c>
      <c r="F43" s="2" t="s">
        <v>124</v>
      </c>
      <c r="G43" s="2" t="s">
        <v>59</v>
      </c>
    </row>
    <row r="44" customFormat="false" ht="15" hidden="false" customHeight="false" outlineLevel="0" collapsed="false">
      <c r="A44" s="2" t="s">
        <v>30</v>
      </c>
      <c r="B44" s="2" t="s">
        <v>32</v>
      </c>
      <c r="C44" s="2" t="s">
        <v>171</v>
      </c>
      <c r="D44" s="2" t="s">
        <v>172</v>
      </c>
      <c r="E44" s="2" t="s">
        <v>173</v>
      </c>
      <c r="F44" s="2" t="s">
        <v>124</v>
      </c>
      <c r="G44" s="2" t="s">
        <v>59</v>
      </c>
    </row>
    <row r="45" customFormat="false" ht="15" hidden="false" customHeight="false" outlineLevel="0" collapsed="false">
      <c r="A45" s="2" t="s">
        <v>30</v>
      </c>
      <c r="B45" s="2" t="s">
        <v>32</v>
      </c>
      <c r="C45" s="2" t="s">
        <v>174</v>
      </c>
      <c r="D45" s="2" t="s">
        <v>175</v>
      </c>
      <c r="E45" s="2" t="s">
        <v>176</v>
      </c>
      <c r="F45" s="2" t="s">
        <v>58</v>
      </c>
      <c r="G45" s="2" t="s">
        <v>59</v>
      </c>
    </row>
    <row r="46" customFormat="false" ht="15" hidden="false" customHeight="false" outlineLevel="0" collapsed="false">
      <c r="A46" s="2" t="s">
        <v>37</v>
      </c>
      <c r="B46" s="2" t="s">
        <v>39</v>
      </c>
      <c r="C46" s="2" t="s">
        <v>177</v>
      </c>
      <c r="D46" s="2" t="s">
        <v>178</v>
      </c>
      <c r="E46" s="2" t="s">
        <v>179</v>
      </c>
      <c r="F46" s="2" t="s">
        <v>72</v>
      </c>
      <c r="G46" s="2" t="s">
        <v>59</v>
      </c>
    </row>
    <row r="47" customFormat="false" ht="15" hidden="false" customHeight="false" outlineLevel="0" collapsed="false">
      <c r="A47" s="2" t="s">
        <v>37</v>
      </c>
      <c r="B47" s="2" t="s">
        <v>39</v>
      </c>
      <c r="C47" s="2" t="s">
        <v>180</v>
      </c>
      <c r="D47" s="2" t="s">
        <v>181</v>
      </c>
      <c r="E47" s="2" t="s">
        <v>182</v>
      </c>
      <c r="F47" s="2" t="s">
        <v>72</v>
      </c>
      <c r="G47" s="2" t="s">
        <v>59</v>
      </c>
    </row>
    <row r="48" customFormat="false" ht="15" hidden="false" customHeight="false" outlineLevel="0" collapsed="false">
      <c r="A48" s="2" t="s">
        <v>37</v>
      </c>
      <c r="B48" s="2" t="s">
        <v>39</v>
      </c>
      <c r="C48" s="2" t="s">
        <v>183</v>
      </c>
      <c r="D48" s="2" t="s">
        <v>184</v>
      </c>
      <c r="E48" s="2" t="s">
        <v>185</v>
      </c>
      <c r="F48" s="2" t="s">
        <v>72</v>
      </c>
      <c r="G48" s="2" t="s">
        <v>59</v>
      </c>
    </row>
    <row r="49" customFormat="false" ht="15" hidden="false" customHeight="false" outlineLevel="0" collapsed="false">
      <c r="A49" s="2" t="s">
        <v>37</v>
      </c>
      <c r="B49" s="2" t="s">
        <v>39</v>
      </c>
      <c r="C49" s="2" t="s">
        <v>186</v>
      </c>
      <c r="D49" s="2" t="s">
        <v>187</v>
      </c>
      <c r="E49" s="2" t="s">
        <v>188</v>
      </c>
      <c r="F49" s="2" t="s">
        <v>72</v>
      </c>
      <c r="G49" s="2" t="s">
        <v>59</v>
      </c>
    </row>
    <row r="50" customFormat="false" ht="15" hidden="false" customHeight="false" outlineLevel="0" collapsed="false">
      <c r="A50" s="2" t="s">
        <v>37</v>
      </c>
      <c r="B50" s="2" t="s">
        <v>39</v>
      </c>
      <c r="C50" s="2" t="s">
        <v>189</v>
      </c>
      <c r="D50" s="2" t="s">
        <v>190</v>
      </c>
      <c r="E50" s="2" t="s">
        <v>191</v>
      </c>
      <c r="F50" s="2" t="s">
        <v>72</v>
      </c>
      <c r="G50" s="2" t="s">
        <v>59</v>
      </c>
    </row>
    <row r="51" customFormat="false" ht="15" hidden="false" customHeight="false" outlineLevel="0" collapsed="false">
      <c r="A51" s="2" t="s">
        <v>37</v>
      </c>
      <c r="B51" s="2" t="s">
        <v>39</v>
      </c>
      <c r="C51" s="2" t="s">
        <v>192</v>
      </c>
      <c r="D51" s="2" t="s">
        <v>193</v>
      </c>
      <c r="E51" s="2" t="s">
        <v>194</v>
      </c>
      <c r="F51" s="2" t="s">
        <v>72</v>
      </c>
      <c r="G51" s="2" t="s">
        <v>59</v>
      </c>
    </row>
    <row r="52" customFormat="false" ht="15" hidden="false" customHeight="false" outlineLevel="0" collapsed="false">
      <c r="A52" s="2" t="s">
        <v>37</v>
      </c>
      <c r="B52" s="2" t="s">
        <v>39</v>
      </c>
      <c r="C52" s="2" t="s">
        <v>195</v>
      </c>
      <c r="D52" s="2" t="s">
        <v>196</v>
      </c>
      <c r="E52" s="2" t="s">
        <v>197</v>
      </c>
      <c r="F52" s="2" t="s">
        <v>72</v>
      </c>
      <c r="G52" s="2" t="s">
        <v>59</v>
      </c>
    </row>
    <row r="53" customFormat="false" ht="15" hidden="false" customHeight="false" outlineLevel="0" collapsed="false">
      <c r="A53" s="2" t="s">
        <v>37</v>
      </c>
      <c r="B53" s="2" t="s">
        <v>39</v>
      </c>
      <c r="C53" s="2" t="s">
        <v>198</v>
      </c>
      <c r="D53" s="2" t="s">
        <v>199</v>
      </c>
      <c r="E53" s="2" t="s">
        <v>200</v>
      </c>
      <c r="F53" s="2" t="s">
        <v>72</v>
      </c>
      <c r="G53" s="2" t="s">
        <v>59</v>
      </c>
    </row>
    <row r="54" customFormat="false" ht="15" hidden="false" customHeight="false" outlineLevel="0" collapsed="false">
      <c r="A54" s="2" t="s">
        <v>37</v>
      </c>
      <c r="B54" s="2" t="s">
        <v>39</v>
      </c>
      <c r="C54" s="2" t="s">
        <v>201</v>
      </c>
      <c r="D54" s="2" t="s">
        <v>202</v>
      </c>
      <c r="E54" s="2" t="s">
        <v>203</v>
      </c>
      <c r="F54" s="2" t="s">
        <v>72</v>
      </c>
      <c r="G54" s="2" t="s">
        <v>59</v>
      </c>
    </row>
    <row r="55" customFormat="false" ht="15" hidden="false" customHeight="false" outlineLevel="0" collapsed="false">
      <c r="A55" s="2" t="s">
        <v>37</v>
      </c>
      <c r="B55" s="2" t="s">
        <v>39</v>
      </c>
      <c r="C55" s="2" t="s">
        <v>204</v>
      </c>
      <c r="D55" s="2" t="s">
        <v>205</v>
      </c>
      <c r="E55" s="2" t="s">
        <v>206</v>
      </c>
      <c r="F55" s="2" t="s">
        <v>124</v>
      </c>
      <c r="G55" s="2" t="s">
        <v>59</v>
      </c>
    </row>
    <row r="56" customFormat="false" ht="15" hidden="false" customHeight="false" outlineLevel="0" collapsed="false">
      <c r="A56" s="2" t="s">
        <v>37</v>
      </c>
      <c r="B56" s="2" t="s">
        <v>39</v>
      </c>
      <c r="C56" s="2" t="s">
        <v>207</v>
      </c>
      <c r="D56" s="2" t="s">
        <v>208</v>
      </c>
      <c r="E56" s="2" t="s">
        <v>209</v>
      </c>
      <c r="F56" s="2" t="s">
        <v>124</v>
      </c>
      <c r="G56" s="2" t="s">
        <v>59</v>
      </c>
    </row>
    <row r="57" customFormat="false" ht="15" hidden="false" customHeight="false" outlineLevel="0" collapsed="false">
      <c r="A57" s="2" t="s">
        <v>37</v>
      </c>
      <c r="B57" s="2" t="s">
        <v>39</v>
      </c>
      <c r="C57" s="2" t="s">
        <v>210</v>
      </c>
      <c r="D57" s="2" t="s">
        <v>211</v>
      </c>
      <c r="E57" s="2" t="s">
        <v>188</v>
      </c>
      <c r="F57" s="2" t="s">
        <v>58</v>
      </c>
      <c r="G57" s="2" t="s">
        <v>59</v>
      </c>
    </row>
    <row r="58" customFormat="false" ht="15" hidden="false" customHeight="false" outlineLevel="0" collapsed="false">
      <c r="A58" s="2" t="s">
        <v>44</v>
      </c>
      <c r="B58" s="2" t="s">
        <v>45</v>
      </c>
      <c r="C58" s="2" t="s">
        <v>212</v>
      </c>
      <c r="D58" s="2" t="s">
        <v>178</v>
      </c>
      <c r="E58" s="2" t="s">
        <v>213</v>
      </c>
      <c r="F58" s="2" t="s">
        <v>72</v>
      </c>
      <c r="G58" s="2" t="s">
        <v>59</v>
      </c>
    </row>
    <row r="59" customFormat="false" ht="15" hidden="false" customHeight="false" outlineLevel="0" collapsed="false">
      <c r="A59" s="2" t="s">
        <v>44</v>
      </c>
      <c r="B59" s="2" t="s">
        <v>45</v>
      </c>
      <c r="C59" s="2" t="s">
        <v>214</v>
      </c>
      <c r="D59" s="2" t="s">
        <v>184</v>
      </c>
      <c r="E59" s="2" t="s">
        <v>185</v>
      </c>
      <c r="F59" s="2" t="s">
        <v>72</v>
      </c>
      <c r="G59" s="2" t="s">
        <v>59</v>
      </c>
    </row>
    <row r="60" customFormat="false" ht="15" hidden="false" customHeight="false" outlineLevel="0" collapsed="false">
      <c r="A60" s="2" t="s">
        <v>44</v>
      </c>
      <c r="B60" s="2" t="s">
        <v>45</v>
      </c>
      <c r="C60" s="2" t="s">
        <v>215</v>
      </c>
      <c r="D60" s="2" t="s">
        <v>187</v>
      </c>
      <c r="E60" s="2" t="s">
        <v>216</v>
      </c>
      <c r="F60" s="2" t="s">
        <v>72</v>
      </c>
      <c r="G60" s="2" t="s">
        <v>59</v>
      </c>
    </row>
    <row r="61" customFormat="false" ht="15" hidden="false" customHeight="false" outlineLevel="0" collapsed="false">
      <c r="A61" s="2" t="s">
        <v>44</v>
      </c>
      <c r="B61" s="2" t="s">
        <v>45</v>
      </c>
      <c r="C61" s="2" t="s">
        <v>217</v>
      </c>
      <c r="D61" s="2" t="s">
        <v>218</v>
      </c>
      <c r="E61" s="2" t="s">
        <v>219</v>
      </c>
      <c r="F61" s="2" t="s">
        <v>72</v>
      </c>
      <c r="G61" s="2" t="s">
        <v>59</v>
      </c>
    </row>
    <row r="62" customFormat="false" ht="15" hidden="false" customHeight="false" outlineLevel="0" collapsed="false">
      <c r="A62" s="2" t="s">
        <v>44</v>
      </c>
      <c r="B62" s="2" t="s">
        <v>45</v>
      </c>
      <c r="C62" s="2" t="s">
        <v>220</v>
      </c>
      <c r="D62" s="2" t="s">
        <v>221</v>
      </c>
      <c r="E62" s="2" t="s">
        <v>222</v>
      </c>
      <c r="F62" s="2" t="s">
        <v>72</v>
      </c>
      <c r="G62" s="2" t="s">
        <v>59</v>
      </c>
    </row>
    <row r="63" customFormat="false" ht="15" hidden="false" customHeight="false" outlineLevel="0" collapsed="false">
      <c r="A63" s="2" t="s">
        <v>44</v>
      </c>
      <c r="B63" s="2" t="s">
        <v>45</v>
      </c>
      <c r="C63" s="2" t="s">
        <v>223</v>
      </c>
      <c r="D63" s="2" t="s">
        <v>190</v>
      </c>
      <c r="E63" s="2" t="s">
        <v>224</v>
      </c>
      <c r="F63" s="2" t="s">
        <v>58</v>
      </c>
      <c r="G63" s="2" t="s">
        <v>59</v>
      </c>
    </row>
    <row r="64" customFormat="false" ht="15" hidden="false" customHeight="false" outlineLevel="0" collapsed="false">
      <c r="A64" s="2" t="s">
        <v>44</v>
      </c>
      <c r="B64" s="2" t="s">
        <v>45</v>
      </c>
      <c r="C64" s="2" t="s">
        <v>225</v>
      </c>
      <c r="D64" s="2" t="s">
        <v>226</v>
      </c>
      <c r="E64" s="2" t="s">
        <v>227</v>
      </c>
      <c r="F64" s="2" t="s">
        <v>124</v>
      </c>
      <c r="G64" s="2" t="s">
        <v>59</v>
      </c>
    </row>
    <row r="65" customFormat="false" ht="15" hidden="false" customHeight="false" outlineLevel="0" collapsed="false">
      <c r="A65" s="2" t="s">
        <v>44</v>
      </c>
      <c r="B65" s="2" t="s">
        <v>45</v>
      </c>
      <c r="C65" s="2" t="s">
        <v>228</v>
      </c>
      <c r="D65" s="2" t="s">
        <v>229</v>
      </c>
      <c r="E65" s="2" t="s">
        <v>230</v>
      </c>
      <c r="F65" s="2" t="s">
        <v>124</v>
      </c>
      <c r="G65" s="2" t="s">
        <v>59</v>
      </c>
    </row>
    <row r="66" customFormat="false" ht="15" hidden="false" customHeight="false" outlineLevel="0" collapsed="false">
      <c r="A66" s="2" t="s">
        <v>44</v>
      </c>
      <c r="B66" s="2" t="s">
        <v>45</v>
      </c>
      <c r="C66" s="2" t="s">
        <v>231</v>
      </c>
      <c r="D66" s="2" t="s">
        <v>232</v>
      </c>
      <c r="E66" s="2" t="s">
        <v>233</v>
      </c>
      <c r="F66" s="2" t="s">
        <v>58</v>
      </c>
      <c r="G66" s="2" t="s">
        <v>59</v>
      </c>
    </row>
    <row r="67" customFormat="false" ht="15" hidden="false" customHeight="false" outlineLevel="0" collapsed="false">
      <c r="A67" s="2" t="s">
        <v>44</v>
      </c>
      <c r="B67" s="2" t="s">
        <v>45</v>
      </c>
      <c r="C67" s="2" t="s">
        <v>234</v>
      </c>
      <c r="D67" s="2" t="s">
        <v>235</v>
      </c>
      <c r="E67" s="2" t="s">
        <v>236</v>
      </c>
      <c r="F67" s="2" t="s">
        <v>58</v>
      </c>
      <c r="G67" s="2" t="s">
        <v>59</v>
      </c>
    </row>
  </sheetData>
  <autoFilter ref="A1:G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5" t="s">
        <v>237</v>
      </c>
    </row>
    <row r="3" customFormat="false" ht="15" hidden="false" customHeight="false" outlineLevel="0" collapsed="false">
      <c r="A3" s="1" t="s">
        <v>238</v>
      </c>
      <c r="B3" s="1" t="s">
        <v>239</v>
      </c>
    </row>
    <row r="4" customFormat="false" ht="15" hidden="false" customHeight="false" outlineLevel="0" collapsed="false">
      <c r="A4" s="2" t="s">
        <v>240</v>
      </c>
      <c r="B4" s="2" t="n">
        <f aca="false">COUNTA('Test Cases'!A2:A7)</f>
        <v>6</v>
      </c>
    </row>
    <row r="5" customFormat="false" ht="15" hidden="false" customHeight="false" outlineLevel="0" collapsed="false">
      <c r="A5" s="2" t="s">
        <v>241</v>
      </c>
      <c r="B5" s="2" t="n">
        <f aca="false">SUM('Test Cases'!G2:G7)</f>
        <v>66</v>
      </c>
    </row>
    <row r="6" customFormat="false" ht="15" hidden="false" customHeight="false" outlineLevel="0" collapsed="false">
      <c r="A6" s="2" t="s">
        <v>242</v>
      </c>
      <c r="B6" s="2" t="n">
        <f aca="false">SUM('Test Cases'!H2:H7)</f>
        <v>66</v>
      </c>
    </row>
    <row r="7" customFormat="false" ht="15" hidden="false" customHeight="false" outlineLevel="0" collapsed="false">
      <c r="A7" s="2" t="s">
        <v>243</v>
      </c>
      <c r="B7" s="6" t="n">
        <f aca="false">IF(B5=0,0,B6/B5)</f>
        <v>1</v>
      </c>
    </row>
    <row r="8" customFormat="false" ht="15" hidden="false" customHeight="false" outlineLevel="0" collapsed="false">
      <c r="A8" s="2" t="s">
        <v>244</v>
      </c>
      <c r="B8" s="2" t="n">
        <f aca="false">COUNTIF('Test Data'!F2:F67,"BVA")</f>
        <v>34</v>
      </c>
    </row>
    <row r="9" customFormat="false" ht="15" hidden="false" customHeight="false" outlineLevel="0" collapsed="false">
      <c r="A9" s="2" t="s">
        <v>245</v>
      </c>
      <c r="B9" s="2" t="n">
        <f aca="false">COUNTIF('Test Data'!F2:F67,"ECP")</f>
        <v>16</v>
      </c>
    </row>
    <row r="10" customFormat="false" ht="15" hidden="false" customHeight="false" outlineLevel="0" collapsed="false">
      <c r="A10" s="2" t="s">
        <v>246</v>
      </c>
      <c r="B10" s="2" t="n">
        <f aca="false">COUNTIF('Test Data'!F2:F67,"Option")</f>
        <v>8</v>
      </c>
    </row>
    <row r="11" customFormat="false" ht="15" hidden="false" customHeight="false" outlineLevel="0" collapsed="false">
      <c r="A11" s="2" t="s">
        <v>247</v>
      </c>
      <c r="B11" s="2" t="n">
        <f aca="false">COUNTIF('Test Data'!F2:F67,"Negative")</f>
        <v>8</v>
      </c>
    </row>
    <row r="13" customFormat="false" ht="15" hidden="false" customHeight="false" outlineLevel="0" collapsed="false">
      <c r="A13" s="7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2026-10-23T04:05:18Z</dcterms:created>
  <dc:creator>openpyxl</dc:creator>
  <dc:description/>
  <dc:language>en-US</dc:language>
  <cp:lastModifiedBy/>
  <dcterms:modified xsi:type="dcterms:W3CDTF">2026-10-23T04:05:18Z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